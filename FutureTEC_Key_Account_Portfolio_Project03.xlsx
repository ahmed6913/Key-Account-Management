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Lists" sheetId="2" state="visible" r:id="rId2"/>
    <sheet xmlns:r="http://schemas.openxmlformats.org/officeDocument/2006/relationships" name="Account Portfolio" sheetId="3" state="visible" r:id="rId3"/>
    <sheet xmlns:r="http://schemas.openxmlformats.org/officeDocument/2006/relationships" name="Portfolio Summary" sheetId="4" state="visible" r:id="rId4"/>
  </sheets>
  <definedNames>
    <definedName name="_xlnm._FilterDatabase" localSheetId="2" hidden="1">'Account Portfolio'!$A$1:$Y$21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#,##0 &quot;KWD&quot;"/>
    <numFmt numFmtId="165" formatCode="0.0%"/>
    <numFmt numFmtId="166" formatCode="0.0"/>
    <numFmt numFmtId="167" formatCode="dd-mmm-yyyy"/>
  </numFmts>
  <fonts count="6">
    <font>
      <name val="Calibri"/>
      <family val="2"/>
      <color theme="1"/>
      <sz val="11"/>
      <scheme val="minor"/>
    </font>
    <font>
      <b val="1"/>
      <color rgb="00FFFFFF"/>
      <sz val="20"/>
    </font>
    <font>
      <b val="1"/>
      <color rgb="00FFFFFF"/>
    </font>
    <font>
      <b val="1"/>
      <color rgb="00FFFFFF"/>
      <sz val="14"/>
    </font>
    <font>
      <b val="1"/>
    </font>
    <font>
      <b val="1"/>
      <color rgb="00FFFFFF"/>
      <sz val="18"/>
    </font>
  </fonts>
  <fills count="6">
    <fill>
      <patternFill/>
    </fill>
    <fill>
      <patternFill patternType="gray125"/>
    </fill>
    <fill>
      <patternFill patternType="solid">
        <fgColor rgb="000B1F33"/>
      </patternFill>
    </fill>
    <fill>
      <patternFill patternType="solid">
        <fgColor rgb="0020A4D8"/>
      </patternFill>
    </fill>
    <fill>
      <patternFill patternType="solid">
        <fgColor rgb="00D9EEF7"/>
      </patternFill>
    </fill>
    <fill>
      <patternFill patternType="solid">
        <fgColor rgb="00F3F5F7"/>
      </patternFill>
    </fill>
  </fills>
  <borders count="2">
    <border>
      <left/>
      <right/>
      <top/>
      <bottom/>
      <diagonal/>
    </border>
    <border>
      <left style="thin">
        <color rgb="00D9E1E8"/>
      </left>
      <right style="thin">
        <color rgb="00D9E1E8"/>
      </right>
      <top style="thin">
        <color rgb="00D9E1E8"/>
      </top>
      <bottom style="thin">
        <color rgb="00D9E1E8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pivotButton="0" quotePrefix="0" xfId="0"/>
    <xf numFmtId="0" fontId="0" fillId="0" borderId="0" applyAlignment="1" pivotButton="0" quotePrefix="0" xfId="0">
      <alignment vertical="center" wrapText="1"/>
    </xf>
    <xf numFmtId="0" fontId="3" fillId="3" borderId="0" pivotButton="0" quotePrefix="0" xfId="0"/>
    <xf numFmtId="0" fontId="4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 wrapText="1"/>
    </xf>
    <xf numFmtId="164" fontId="0" fillId="0" borderId="1" applyAlignment="1" pivotButton="0" quotePrefix="0" xfId="0">
      <alignment vertical="center" wrapText="1"/>
    </xf>
    <xf numFmtId="165" fontId="0" fillId="0" borderId="1" applyAlignment="1" pivotButton="0" quotePrefix="0" xfId="0">
      <alignment vertical="center" wrapText="1"/>
    </xf>
    <xf numFmtId="167" fontId="0" fillId="0" borderId="1" applyAlignment="1" pivotButton="0" quotePrefix="0" xfId="0">
      <alignment vertical="center" wrapText="1"/>
    </xf>
    <xf numFmtId="9" fontId="0" fillId="0" borderId="1" applyAlignment="1" pivotButton="0" quotePrefix="0" xfId="0">
      <alignment vertical="center" wrapText="1"/>
    </xf>
    <xf numFmtId="166" fontId="0" fillId="0" borderId="1" applyAlignment="1" pivotButton="0" quotePrefix="0" xfId="0">
      <alignment vertical="center" wrapText="1"/>
    </xf>
    <xf numFmtId="0" fontId="5" fillId="2" borderId="0" applyAlignment="1" pivotButton="0" quotePrefix="0" xfId="0">
      <alignment horizontal="center"/>
    </xf>
    <xf numFmtId="0" fontId="2" fillId="2" borderId="1" pivotButton="0" quotePrefix="0" xfId="0"/>
    <xf numFmtId="0" fontId="0" fillId="4" borderId="1" pivotButton="0" quotePrefix="0" xfId="0"/>
    <xf numFmtId="0" fontId="2" fillId="3" borderId="0" pivotButton="0" quotePrefix="0" xfId="0"/>
    <xf numFmtId="164" fontId="0" fillId="4" borderId="1" pivotButton="0" quotePrefix="0" xfId="0"/>
    <xf numFmtId="0" fontId="0" fillId="0" borderId="1" pivotButton="0" quotePrefix="0" xfId="0"/>
    <xf numFmtId="165" fontId="0" fillId="4" borderId="1" pivotButton="0" quotePrefix="0" xfId="0"/>
    <xf numFmtId="0" fontId="0" fillId="0" borderId="0" applyAlignment="1" pivotButton="0" quotePrefix="0" xfId="0">
      <alignment vertical="top" wrapText="1"/>
    </xf>
    <xf numFmtId="0" fontId="0" fillId="5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ables/table1.xml><?xml version="1.0" encoding="utf-8"?>
<table xmlns="http://schemas.openxmlformats.org/spreadsheetml/2006/main" id="1" name="AccountPortfolioTable" displayName="AccountPortfolioTable" ref="A1:Y21" headerRowCount="1">
  <autoFilter ref="A1:Y21"/>
  <tableColumns count="25">
    <tableColumn id="1" name="Account ID"/>
    <tableColumn id="2" name="Account Name"/>
    <tableColumn id="3" name="Industry"/>
    <tableColumn id="4" name="Location"/>
    <tableColumn id="5" name="Decision Maker Role"/>
    <tableColumn id="6" name="Relationship Stage"/>
    <tableColumn id="7" name="Primary Solution"/>
    <tableColumn id="8" name="Secondary Solution"/>
    <tableColumn id="9" name="Annual Revenue (KWD)"/>
    <tableColumn id="10" name="Sales Target (KWD)"/>
    <tableColumn id="11" name="Target Achievement %"/>
    <tableColumn id="12" name="Contract Value (KWD)"/>
    <tableColumn id="13" name="Renewal Date"/>
    <tableColumn id="14" name="Last Meeting"/>
    <tableColumn id="15" name="Last Order"/>
    <tableColumn id="16" name="Order Frequency"/>
    <tableColumn id="17" name="Revenue Growth %"/>
    <tableColumn id="18" name="Customer Satisfaction (/10)"/>
    <tableColumn id="19" name="Open Complaints"/>
    <tableColumn id="20" name="Growth Potential"/>
    <tableColumn id="21" name="Cross-Sell Opportunity"/>
    <tableColumn id="22" name="Upsell Opportunity"/>
    <tableColumn id="23" name="Account Segment"/>
    <tableColumn id="24" name="Health Score"/>
    <tableColumn id="25" name="Account Statu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26" customWidth="1" min="2" max="2"/>
    <col width="16" customWidth="1" min="3" max="3"/>
    <col width="16" customWidth="1" min="4" max="4"/>
    <col width="20" customWidth="1" min="5" max="5"/>
    <col width="18" customWidth="1" min="6" max="6"/>
    <col width="24" customWidth="1" min="7" max="7"/>
    <col width="24" customWidth="1" min="8" max="8"/>
  </cols>
  <sheetData>
    <row r="1" ht="32" customHeight="1">
      <c r="A1" s="1" t="inlineStr">
        <is>
          <t>PROJECT 03 — STRATEGIC KEY ACCOUNT MANAGEMENT</t>
        </is>
      </c>
    </row>
    <row r="3" ht="24" customHeight="1">
      <c r="A3" s="2" t="inlineStr">
        <is>
          <t>Company Context</t>
        </is>
      </c>
      <c r="B3" s="3" t="inlineStr">
        <is>
          <t>Future Technology Systems Co. (FutureTEC), Kuwait</t>
        </is>
      </c>
    </row>
    <row r="4" ht="24" customHeight="1">
      <c r="A4" s="2" t="inlineStr">
        <is>
          <t>Project Type</t>
        </is>
      </c>
      <c r="B4" s="3" t="inlineStr">
        <is>
          <t>Strategic Key Account Management Portfolio Case Study</t>
        </is>
      </c>
    </row>
    <row r="5" ht="24" customHeight="1">
      <c r="A5" s="2" t="inlineStr">
        <is>
          <t>Target Roles</t>
        </is>
      </c>
      <c r="B5" s="3" t="inlineStr">
        <is>
          <t>Key Account Executive | Key Account Manager | Account Manager</t>
        </is>
      </c>
    </row>
    <row r="6" ht="24" customHeight="1">
      <c r="A6" s="2" t="inlineStr">
        <is>
          <t>Portfolio Size</t>
        </is>
      </c>
      <c r="B6" s="3" t="inlineStr">
        <is>
          <t>20 simulated enterprise B2B accounts</t>
        </is>
      </c>
    </row>
    <row r="7" ht="24" customHeight="1">
      <c r="A7" s="2" t="inlineStr">
        <is>
          <t>Currency</t>
        </is>
      </c>
      <c r="B7" s="3" t="inlineStr">
        <is>
          <t>KWD</t>
        </is>
      </c>
    </row>
    <row r="8" ht="34" customHeight="1">
      <c r="A8" s="2" t="inlineStr">
        <is>
          <t>Important Disclaimer</t>
        </is>
      </c>
      <c r="B8" s="3" t="inlineStr">
        <is>
          <t>All client names, financial figures, contacts, performance metrics and account information are simulated for educational and portfolio purposes. No confidential FutureTEC or client information is included.</t>
        </is>
      </c>
    </row>
    <row r="11">
      <c r="A11" s="4" t="inlineStr">
        <is>
          <t>Workbook Guide</t>
        </is>
      </c>
    </row>
    <row r="12">
      <c r="A12" s="5" t="inlineStr">
        <is>
          <t>Account Portfolio</t>
        </is>
      </c>
      <c r="B12" t="inlineStr">
        <is>
          <t>Main master dataset containing all 20 enterprise accounts and account-management information.</t>
        </is>
      </c>
    </row>
    <row r="13">
      <c r="A13" s="5" t="inlineStr">
        <is>
          <t>Lists</t>
        </is>
      </c>
      <c r="B13" t="inlineStr">
        <is>
          <t>Dropdown values used for consistent data entry and future CRM/analysis work.</t>
        </is>
      </c>
    </row>
    <row r="14">
      <c r="A14" s="5" t="inlineStr">
        <is>
          <t>Future Phases</t>
        </is>
      </c>
      <c r="B14" t="inlineStr">
        <is>
          <t>Account Health Score, Growth Plans, Dashboard and QBR will be added in later project phases.</t>
        </is>
      </c>
    </row>
  </sheetData>
  <mergeCells count="10">
    <mergeCell ref="B8:H8"/>
    <mergeCell ref="B14:H14"/>
    <mergeCell ref="B13:H13"/>
    <mergeCell ref="B4:H4"/>
    <mergeCell ref="B12:H12"/>
    <mergeCell ref="B6:H6"/>
    <mergeCell ref="B7:H7"/>
    <mergeCell ref="A1:H1"/>
    <mergeCell ref="B3:H3"/>
    <mergeCell ref="B5:H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4"/>
  <sheetViews>
    <sheetView showGridLines="0" workbookViewId="0">
      <selection activeCell="A1" sqref="A1"/>
    </sheetView>
  </sheetViews>
  <sheetFormatPr baseColWidth="8" defaultRowHeight="15"/>
  <cols>
    <col width="21" customWidth="1" min="1" max="1"/>
    <col width="18" customWidth="1" min="2" max="2"/>
    <col width="19" customWidth="1" min="3" max="3"/>
    <col width="18" customWidth="1" min="4" max="4"/>
    <col width="28" customWidth="1" min="5" max="5"/>
  </cols>
  <sheetData>
    <row r="1">
      <c r="A1" s="2" t="inlineStr">
        <is>
          <t>Relationship Stage</t>
        </is>
      </c>
      <c r="B1" s="2" t="inlineStr">
        <is>
          <t>Order Frequency</t>
        </is>
      </c>
      <c r="C1" s="2" t="inlineStr">
        <is>
          <t>Growth Potential</t>
        </is>
      </c>
      <c r="D1" s="2" t="inlineStr">
        <is>
          <t>Account Segment</t>
        </is>
      </c>
      <c r="E1" s="2" t="inlineStr">
        <is>
          <t>Primary Solution</t>
        </is>
      </c>
    </row>
    <row r="2">
      <c r="A2" t="inlineStr">
        <is>
          <t>Developing</t>
        </is>
      </c>
      <c r="B2" t="inlineStr">
        <is>
          <t>High</t>
        </is>
      </c>
      <c r="C2" t="inlineStr">
        <is>
          <t>High</t>
        </is>
      </c>
      <c r="D2" t="inlineStr">
        <is>
          <t>Strategic</t>
        </is>
      </c>
      <c r="E2" t="inlineStr">
        <is>
          <t>Cybersecurity</t>
        </is>
      </c>
    </row>
    <row r="3">
      <c r="A3" t="inlineStr">
        <is>
          <t>Established</t>
        </is>
      </c>
      <c r="B3" t="inlineStr">
        <is>
          <t>Medium</t>
        </is>
      </c>
      <c r="C3" t="inlineStr">
        <is>
          <t>Medium</t>
        </is>
      </c>
      <c r="D3" t="inlineStr">
        <is>
          <t>Growth</t>
        </is>
      </c>
      <c r="E3" t="inlineStr">
        <is>
          <t>Data Security</t>
        </is>
      </c>
    </row>
    <row r="4">
      <c r="A4" t="inlineStr">
        <is>
          <t>Strategic</t>
        </is>
      </c>
      <c r="B4" t="inlineStr">
        <is>
          <t>Low</t>
        </is>
      </c>
      <c r="C4" t="inlineStr">
        <is>
          <t>Low</t>
        </is>
      </c>
      <c r="D4" t="inlineStr">
        <is>
          <t>Maintain</t>
        </is>
      </c>
      <c r="E4" t="inlineStr">
        <is>
          <t>Data Management</t>
        </is>
      </c>
    </row>
    <row r="5">
      <c r="E5" t="inlineStr">
        <is>
          <t>Network Security</t>
        </is>
      </c>
    </row>
    <row r="6">
      <c r="E6" t="inlineStr">
        <is>
          <t>Business Continuity</t>
        </is>
      </c>
    </row>
    <row r="7">
      <c r="E7" t="inlineStr">
        <is>
          <t>Cloud Solutions</t>
        </is>
      </c>
    </row>
    <row r="8">
      <c r="E8" t="inlineStr">
        <is>
          <t>Digital Transformation</t>
        </is>
      </c>
    </row>
    <row r="9">
      <c r="E9" t="inlineStr">
        <is>
          <t>Data Governance</t>
        </is>
      </c>
    </row>
    <row r="10">
      <c r="E10" t="inlineStr">
        <is>
          <t>Cloud Infrastructure</t>
        </is>
      </c>
    </row>
    <row r="11">
      <c r="E11" t="inlineStr">
        <is>
          <t>Datacenter Modernization</t>
        </is>
      </c>
    </row>
    <row r="12">
      <c r="E12" t="inlineStr">
        <is>
          <t>Business Intelligence</t>
        </is>
      </c>
    </row>
    <row r="13">
      <c r="E13" t="inlineStr">
        <is>
          <t>AI &amp; Data Innovation</t>
        </is>
      </c>
    </row>
    <row r="14">
      <c r="E14" t="inlineStr">
        <is>
          <t>Managed Security Services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Y2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0" customWidth="1" min="2" max="2"/>
    <col width="20" customWidth="1" min="3" max="3"/>
    <col width="15" customWidth="1" min="4" max="4"/>
    <col width="21" customWidth="1" min="5" max="5"/>
    <col width="16" customWidth="1" min="6" max="6"/>
    <col width="25" customWidth="1" min="7" max="7"/>
    <col width="25" customWidth="1" min="8" max="8"/>
    <col width="18" customWidth="1" min="9" max="9"/>
    <col width="18" customWidth="1" min="10" max="10"/>
    <col width="18" customWidth="1" min="11" max="11"/>
    <col width="20" customWidth="1" min="12" max="12"/>
    <col width="15" customWidth="1" min="13" max="13"/>
    <col width="15" customWidth="1" min="14" max="14"/>
    <col width="15" customWidth="1" min="15" max="15"/>
    <col width="16" customWidth="1" min="16" max="16"/>
    <col width="18" customWidth="1" min="17" max="17"/>
    <col width="22" customWidth="1" min="18" max="18"/>
    <col width="17" customWidth="1" min="19" max="19"/>
    <col width="18" customWidth="1" min="20" max="20"/>
    <col width="30" customWidth="1" min="21" max="21"/>
    <col width="32" customWidth="1" min="22" max="22"/>
    <col width="18" customWidth="1" min="23" max="23"/>
    <col width="14" customWidth="1" min="24" max="24"/>
    <col width="18" customWidth="1" min="25" max="25"/>
  </cols>
  <sheetData>
    <row r="1" ht="42" customHeight="1">
      <c r="A1" s="6" t="inlineStr">
        <is>
          <t>Account ID</t>
        </is>
      </c>
      <c r="B1" s="6" t="inlineStr">
        <is>
          <t>Account Name</t>
        </is>
      </c>
      <c r="C1" s="6" t="inlineStr">
        <is>
          <t>Industry</t>
        </is>
      </c>
      <c r="D1" s="6" t="inlineStr">
        <is>
          <t>Location</t>
        </is>
      </c>
      <c r="E1" s="6" t="inlineStr">
        <is>
          <t>Decision Maker Role</t>
        </is>
      </c>
      <c r="F1" s="6" t="inlineStr">
        <is>
          <t>Relationship Stage</t>
        </is>
      </c>
      <c r="G1" s="6" t="inlineStr">
        <is>
          <t>Primary Solution</t>
        </is>
      </c>
      <c r="H1" s="6" t="inlineStr">
        <is>
          <t>Secondary Solution</t>
        </is>
      </c>
      <c r="I1" s="6" t="inlineStr">
        <is>
          <t>Annual Revenue (KWD)</t>
        </is>
      </c>
      <c r="J1" s="6" t="inlineStr">
        <is>
          <t>Sales Target (KWD)</t>
        </is>
      </c>
      <c r="K1" s="6" t="inlineStr">
        <is>
          <t>Target Achievement %</t>
        </is>
      </c>
      <c r="L1" s="6" t="inlineStr">
        <is>
          <t>Contract Value (KWD)</t>
        </is>
      </c>
      <c r="M1" s="6" t="inlineStr">
        <is>
          <t>Renewal Date</t>
        </is>
      </c>
      <c r="N1" s="6" t="inlineStr">
        <is>
          <t>Last Meeting</t>
        </is>
      </c>
      <c r="O1" s="6" t="inlineStr">
        <is>
          <t>Last Order</t>
        </is>
      </c>
      <c r="P1" s="6" t="inlineStr">
        <is>
          <t>Order Frequency</t>
        </is>
      </c>
      <c r="Q1" s="6" t="inlineStr">
        <is>
          <t>Revenue Growth %</t>
        </is>
      </c>
      <c r="R1" s="6" t="inlineStr">
        <is>
          <t>Customer Satisfaction (/10)</t>
        </is>
      </c>
      <c r="S1" s="6" t="inlineStr">
        <is>
          <t>Open Complaints</t>
        </is>
      </c>
      <c r="T1" s="6" t="inlineStr">
        <is>
          <t>Growth Potential</t>
        </is>
      </c>
      <c r="U1" s="6" t="inlineStr">
        <is>
          <t>Cross-Sell Opportunity</t>
        </is>
      </c>
      <c r="V1" s="6" t="inlineStr">
        <is>
          <t>Upsell Opportunity</t>
        </is>
      </c>
      <c r="W1" s="6" t="inlineStr">
        <is>
          <t>Account Segment</t>
        </is>
      </c>
      <c r="X1" s="6" t="inlineStr">
        <is>
          <t>Health Score</t>
        </is>
      </c>
      <c r="Y1" s="6" t="inlineStr">
        <is>
          <t>Account Status</t>
        </is>
      </c>
    </row>
    <row r="2">
      <c r="A2" s="7" t="inlineStr">
        <is>
          <t>KA001</t>
        </is>
      </c>
      <c r="B2" s="7" t="inlineStr">
        <is>
          <t>Gulf National Bank</t>
        </is>
      </c>
      <c r="C2" s="7" t="inlineStr">
        <is>
          <t>Banking</t>
        </is>
      </c>
      <c r="D2" s="7" t="inlineStr">
        <is>
          <t>Kuwait City</t>
        </is>
      </c>
      <c r="E2" s="7" t="inlineStr">
        <is>
          <t>CIO</t>
        </is>
      </c>
      <c r="F2" s="7" t="inlineStr">
        <is>
          <t>Strategic</t>
        </is>
      </c>
      <c r="G2" s="7" t="inlineStr">
        <is>
          <t>Cybersecurity</t>
        </is>
      </c>
      <c r="H2" s="7" t="inlineStr">
        <is>
          <t>Data Protection</t>
        </is>
      </c>
      <c r="I2" s="8" t="n">
        <v>185000</v>
      </c>
      <c r="J2" s="8" t="n">
        <v>190000</v>
      </c>
      <c r="K2" s="9">
        <f>I2/J2</f>
        <v/>
      </c>
      <c r="L2" s="8" t="n">
        <v>200000</v>
      </c>
      <c r="M2" s="10" t="inlineStr">
        <is>
          <t>31-Dec-2026</t>
        </is>
      </c>
      <c r="N2" s="10" t="inlineStr">
        <is>
          <t>25-Aug-2026</t>
        </is>
      </c>
      <c r="O2" s="10" t="inlineStr">
        <is>
          <t>15-Aug-2026</t>
        </is>
      </c>
      <c r="P2" s="7" t="inlineStr">
        <is>
          <t>High</t>
        </is>
      </c>
      <c r="Q2" s="11" t="n">
        <v>0.12</v>
      </c>
      <c r="R2" s="12" t="n">
        <v>9.199999999999999</v>
      </c>
      <c r="S2" s="7" t="n">
        <v>0</v>
      </c>
      <c r="T2" s="7" t="inlineStr">
        <is>
          <t>High</t>
        </is>
      </c>
      <c r="U2" s="7" t="inlineStr">
        <is>
          <t>Managed Security Services</t>
        </is>
      </c>
      <c r="V2" s="7" t="inlineStr">
        <is>
          <t>Advanced Cybersecurity Package</t>
        </is>
      </c>
      <c r="W2" s="7" t="inlineStr">
        <is>
          <t>Strategic</t>
        </is>
      </c>
      <c r="X2" s="7" t="n"/>
      <c r="Y2" s="7" t="n"/>
    </row>
    <row r="3">
      <c r="A3" s="7" t="inlineStr">
        <is>
          <t>KA002</t>
        </is>
      </c>
      <c r="B3" s="7" t="inlineStr">
        <is>
          <t>Kuwait Financial Group</t>
        </is>
      </c>
      <c r="C3" s="7" t="inlineStr">
        <is>
          <t>Financial Services</t>
        </is>
      </c>
      <c r="D3" s="7" t="inlineStr">
        <is>
          <t>Kuwait City</t>
        </is>
      </c>
      <c r="E3" s="7" t="inlineStr">
        <is>
          <t>CISO</t>
        </is>
      </c>
      <c r="F3" s="7" t="inlineStr">
        <is>
          <t>Established</t>
        </is>
      </c>
      <c r="G3" s="7" t="inlineStr">
        <is>
          <t>Data Security</t>
        </is>
      </c>
      <c r="H3" s="7" t="inlineStr">
        <is>
          <t>Managed Security</t>
        </is>
      </c>
      <c r="I3" s="8" t="n">
        <v>145000</v>
      </c>
      <c r="J3" s="8" t="n">
        <v>160000</v>
      </c>
      <c r="K3" s="9">
        <f>I3/J3</f>
        <v/>
      </c>
      <c r="L3" s="8" t="n">
        <v>155000</v>
      </c>
      <c r="M3" s="10" t="inlineStr">
        <is>
          <t>15-Nov-2026</t>
        </is>
      </c>
      <c r="N3" s="10" t="inlineStr">
        <is>
          <t>20-Aug-2026</t>
        </is>
      </c>
      <c r="O3" s="10" t="inlineStr">
        <is>
          <t>10-Aug-2026</t>
        </is>
      </c>
      <c r="P3" s="7" t="inlineStr">
        <is>
          <t>High</t>
        </is>
      </c>
      <c r="Q3" s="11" t="n">
        <v>0.08</v>
      </c>
      <c r="R3" s="12" t="n">
        <v>8.4</v>
      </c>
      <c r="S3" s="7" t="n">
        <v>1</v>
      </c>
      <c r="T3" s="7" t="inlineStr">
        <is>
          <t>Medium</t>
        </is>
      </c>
      <c r="U3" s="7" t="inlineStr">
        <is>
          <t>Business Continuity</t>
        </is>
      </c>
      <c r="V3" s="7" t="inlineStr">
        <is>
          <t>24/7 Security Monitoring</t>
        </is>
      </c>
      <c r="W3" s="7" t="inlineStr">
        <is>
          <t>Maintain</t>
        </is>
      </c>
      <c r="X3" s="7" t="n"/>
      <c r="Y3" s="7" t="n"/>
    </row>
    <row r="4">
      <c r="A4" s="7" t="inlineStr">
        <is>
          <t>KA003</t>
        </is>
      </c>
      <c r="B4" s="7" t="inlineStr">
        <is>
          <t>Al Noor Healthcare</t>
        </is>
      </c>
      <c r="C4" s="7" t="inlineStr">
        <is>
          <t>Healthcare</t>
        </is>
      </c>
      <c r="D4" s="7" t="inlineStr">
        <is>
          <t>Kuwait</t>
        </is>
      </c>
      <c r="E4" s="7" t="inlineStr">
        <is>
          <t>IT Director</t>
        </is>
      </c>
      <c r="F4" s="7" t="inlineStr">
        <is>
          <t>Developing</t>
        </is>
      </c>
      <c r="G4" s="7" t="inlineStr">
        <is>
          <t>Data Management</t>
        </is>
      </c>
      <c r="H4" s="7" t="inlineStr"/>
      <c r="I4" s="8" t="n">
        <v>92000</v>
      </c>
      <c r="J4" s="8" t="n">
        <v>110000</v>
      </c>
      <c r="K4" s="9">
        <f>I4/J4</f>
        <v/>
      </c>
      <c r="L4" s="8" t="n">
        <v>100000</v>
      </c>
      <c r="M4" s="10" t="inlineStr">
        <is>
          <t>30-Oct-2026</t>
        </is>
      </c>
      <c r="N4" s="10" t="inlineStr">
        <is>
          <t>05-Aug-2026</t>
        </is>
      </c>
      <c r="O4" s="10" t="inlineStr">
        <is>
          <t>20-Jul-2026</t>
        </is>
      </c>
      <c r="P4" s="7" t="inlineStr">
        <is>
          <t>Medium</t>
        </is>
      </c>
      <c r="Q4" s="11" t="n">
        <v>0.18</v>
      </c>
      <c r="R4" s="12" t="n">
        <v>7.2</v>
      </c>
      <c r="S4" s="7" t="n">
        <v>2</v>
      </c>
      <c r="T4" s="7" t="inlineStr">
        <is>
          <t>High</t>
        </is>
      </c>
      <c r="U4" s="7" t="inlineStr">
        <is>
          <t>Cybersecurity</t>
        </is>
      </c>
      <c r="V4" s="7" t="inlineStr">
        <is>
          <t>Advanced Data Management</t>
        </is>
      </c>
      <c r="W4" s="7" t="inlineStr">
        <is>
          <t>Growth</t>
        </is>
      </c>
      <c r="X4" s="7" t="n"/>
      <c r="Y4" s="7" t="n"/>
    </row>
    <row r="5">
      <c r="A5" s="7" t="inlineStr">
        <is>
          <t>KA004</t>
        </is>
      </c>
      <c r="B5" s="7" t="inlineStr">
        <is>
          <t>Gulf Telecom Solutions</t>
        </is>
      </c>
      <c r="C5" s="7" t="inlineStr">
        <is>
          <t>Telecommunications</t>
        </is>
      </c>
      <c r="D5" s="7" t="inlineStr">
        <is>
          <t>Kuwait</t>
        </is>
      </c>
      <c r="E5" s="7" t="inlineStr">
        <is>
          <t>CTO</t>
        </is>
      </c>
      <c r="F5" s="7" t="inlineStr">
        <is>
          <t>Strategic</t>
        </is>
      </c>
      <c r="G5" s="7" t="inlineStr">
        <is>
          <t>Network Security</t>
        </is>
      </c>
      <c r="H5" s="7" t="inlineStr">
        <is>
          <t>Cloud Security</t>
        </is>
      </c>
      <c r="I5" s="8" t="n">
        <v>165000</v>
      </c>
      <c r="J5" s="8" t="n">
        <v>170000</v>
      </c>
      <c r="K5" s="9">
        <f>I5/J5</f>
        <v/>
      </c>
      <c r="L5" s="8" t="n">
        <v>180000</v>
      </c>
      <c r="M5" s="10" t="inlineStr">
        <is>
          <t>31-Jan-2027</t>
        </is>
      </c>
      <c r="N5" s="10" t="inlineStr">
        <is>
          <t>28-Aug-2026</t>
        </is>
      </c>
      <c r="O5" s="10" t="inlineStr">
        <is>
          <t>18-Aug-2026</t>
        </is>
      </c>
      <c r="P5" s="7" t="inlineStr">
        <is>
          <t>High</t>
        </is>
      </c>
      <c r="Q5" s="11" t="n">
        <v>0.15</v>
      </c>
      <c r="R5" s="12" t="n">
        <v>9</v>
      </c>
      <c r="S5" s="7" t="n">
        <v>0</v>
      </c>
      <c r="T5" s="7" t="inlineStr">
        <is>
          <t>High</t>
        </is>
      </c>
      <c r="U5" s="7" t="inlineStr">
        <is>
          <t>Datacenter Modernization</t>
        </is>
      </c>
      <c r="V5" s="7" t="inlineStr">
        <is>
          <t>Advanced Network Security</t>
        </is>
      </c>
      <c r="W5" s="7" t="inlineStr">
        <is>
          <t>Strategic</t>
        </is>
      </c>
      <c r="X5" s="7" t="n"/>
      <c r="Y5" s="7" t="n"/>
    </row>
    <row r="6">
      <c r="A6" s="7" t="inlineStr">
        <is>
          <t>KA005</t>
        </is>
      </c>
      <c r="B6" s="7" t="inlineStr">
        <is>
          <t>Kuwait Energy Corporation</t>
        </is>
      </c>
      <c r="C6" s="7" t="inlineStr">
        <is>
          <t>Energy</t>
        </is>
      </c>
      <c r="D6" s="7" t="inlineStr">
        <is>
          <t>Ahmadi</t>
        </is>
      </c>
      <c r="E6" s="7" t="inlineStr">
        <is>
          <t>CIO</t>
        </is>
      </c>
      <c r="F6" s="7" t="inlineStr">
        <is>
          <t>Strategic</t>
        </is>
      </c>
      <c r="G6" s="7" t="inlineStr">
        <is>
          <t>Business Continuity</t>
        </is>
      </c>
      <c r="H6" s="7" t="inlineStr">
        <is>
          <t>Disaster Recovery</t>
        </is>
      </c>
      <c r="I6" s="8" t="n">
        <v>175000</v>
      </c>
      <c r="J6" s="8" t="n">
        <v>180000</v>
      </c>
      <c r="K6" s="9">
        <f>I6/J6</f>
        <v/>
      </c>
      <c r="L6" s="8" t="n">
        <v>190000</v>
      </c>
      <c r="M6" s="10" t="inlineStr">
        <is>
          <t>31-Dec-2026</t>
        </is>
      </c>
      <c r="N6" s="10" t="inlineStr">
        <is>
          <t>22-Aug-2026</t>
        </is>
      </c>
      <c r="O6" s="10" t="inlineStr">
        <is>
          <t>12-Aug-2026</t>
        </is>
      </c>
      <c r="P6" s="7" t="inlineStr">
        <is>
          <t>High</t>
        </is>
      </c>
      <c r="Q6" s="11" t="n">
        <v>0.1</v>
      </c>
      <c r="R6" s="12" t="n">
        <v>8.800000000000001</v>
      </c>
      <c r="S6" s="7" t="n">
        <v>1</v>
      </c>
      <c r="T6" s="7" t="inlineStr">
        <is>
          <t>High</t>
        </is>
      </c>
      <c r="U6" s="7" t="inlineStr">
        <is>
          <t>Cybersecurity</t>
        </is>
      </c>
      <c r="V6" s="7" t="inlineStr">
        <is>
          <t>Enterprise DR Solution</t>
        </is>
      </c>
      <c r="W6" s="7" t="inlineStr">
        <is>
          <t>Strategic</t>
        </is>
      </c>
      <c r="X6" s="7" t="n"/>
      <c r="Y6" s="7" t="n"/>
    </row>
    <row r="7">
      <c r="A7" s="7" t="inlineStr">
        <is>
          <t>KA006</t>
        </is>
      </c>
      <c r="B7" s="7" t="inlineStr">
        <is>
          <t>National Logistics Group</t>
        </is>
      </c>
      <c r="C7" s="7" t="inlineStr">
        <is>
          <t>Logistics</t>
        </is>
      </c>
      <c r="D7" s="7" t="inlineStr">
        <is>
          <t>Kuwait</t>
        </is>
      </c>
      <c r="E7" s="7" t="inlineStr">
        <is>
          <t>IT Manager</t>
        </is>
      </c>
      <c r="F7" s="7" t="inlineStr">
        <is>
          <t>Established</t>
        </is>
      </c>
      <c r="G7" s="7" t="inlineStr">
        <is>
          <t>Cloud Solutions</t>
        </is>
      </c>
      <c r="H7" s="7" t="inlineStr"/>
      <c r="I7" s="8" t="n">
        <v>78000</v>
      </c>
      <c r="J7" s="8" t="n">
        <v>95000</v>
      </c>
      <c r="K7" s="9">
        <f>I7/J7</f>
        <v/>
      </c>
      <c r="L7" s="8" t="n">
        <v>85000</v>
      </c>
      <c r="M7" s="10" t="inlineStr">
        <is>
          <t>15-Oct-2026</t>
        </is>
      </c>
      <c r="N7" s="10" t="inlineStr">
        <is>
          <t>10-Jul-2026</t>
        </is>
      </c>
      <c r="O7" s="10" t="inlineStr">
        <is>
          <t>05-Jul-2026</t>
        </is>
      </c>
      <c r="P7" s="7" t="inlineStr">
        <is>
          <t>Low</t>
        </is>
      </c>
      <c r="Q7" s="11" t="n">
        <v>-0.05</v>
      </c>
      <c r="R7" s="12" t="n">
        <v>6.5</v>
      </c>
      <c r="S7" s="7" t="n">
        <v>3</v>
      </c>
      <c r="T7" s="7" t="inlineStr">
        <is>
          <t>Medium</t>
        </is>
      </c>
      <c r="U7" s="7" t="inlineStr">
        <is>
          <t>Business Intelligence</t>
        </is>
      </c>
      <c r="V7" s="7" t="inlineStr">
        <is>
          <t>Cloud Infrastructure Expansion</t>
        </is>
      </c>
      <c r="W7" s="7" t="inlineStr">
        <is>
          <t>Maintain</t>
        </is>
      </c>
      <c r="X7" s="7" t="n"/>
      <c r="Y7" s="7" t="n"/>
    </row>
    <row r="8">
      <c r="A8" s="7" t="inlineStr">
        <is>
          <t>KA007</t>
        </is>
      </c>
      <c r="B8" s="7" t="inlineStr">
        <is>
          <t>Al Safa Retail Group</t>
        </is>
      </c>
      <c r="C8" s="7" t="inlineStr">
        <is>
          <t>Retail</t>
        </is>
      </c>
      <c r="D8" s="7" t="inlineStr">
        <is>
          <t>Kuwait City</t>
        </is>
      </c>
      <c r="E8" s="7" t="inlineStr">
        <is>
          <t>Head of IT</t>
        </is>
      </c>
      <c r="F8" s="7" t="inlineStr">
        <is>
          <t>Developing</t>
        </is>
      </c>
      <c r="G8" s="7" t="inlineStr">
        <is>
          <t>Digital Transformation</t>
        </is>
      </c>
      <c r="H8" s="7" t="inlineStr"/>
      <c r="I8" s="8" t="n">
        <v>68000</v>
      </c>
      <c r="J8" s="8" t="n">
        <v>90000</v>
      </c>
      <c r="K8" s="9">
        <f>I8/J8</f>
        <v/>
      </c>
      <c r="L8" s="8" t="n">
        <v>75000</v>
      </c>
      <c r="M8" s="10" t="inlineStr">
        <is>
          <t>30-Sep-2026</t>
        </is>
      </c>
      <c r="N8" s="10" t="inlineStr">
        <is>
          <t>01-Aug-2026</t>
        </is>
      </c>
      <c r="O8" s="10" t="inlineStr">
        <is>
          <t>15-Jul-2026</t>
        </is>
      </c>
      <c r="P8" s="7" t="inlineStr">
        <is>
          <t>Medium</t>
        </is>
      </c>
      <c r="Q8" s="11" t="n">
        <v>0.22</v>
      </c>
      <c r="R8" s="12" t="n">
        <v>7.5</v>
      </c>
      <c r="S8" s="7" t="n">
        <v>2</v>
      </c>
      <c r="T8" s="7" t="inlineStr">
        <is>
          <t>High</t>
        </is>
      </c>
      <c r="U8" s="7" t="inlineStr">
        <is>
          <t>Cloud Solutions</t>
        </is>
      </c>
      <c r="V8" s="7" t="inlineStr">
        <is>
          <t>Digital Transformation Upgrade</t>
        </is>
      </c>
      <c r="W8" s="7" t="inlineStr">
        <is>
          <t>Growth</t>
        </is>
      </c>
      <c r="X8" s="7" t="n"/>
      <c r="Y8" s="7" t="n"/>
    </row>
    <row r="9">
      <c r="A9" s="7" t="inlineStr">
        <is>
          <t>KA008</t>
        </is>
      </c>
      <c r="B9" s="7" t="inlineStr">
        <is>
          <t>Kuwait Public Services Authority</t>
        </is>
      </c>
      <c r="C9" s="7" t="inlineStr">
        <is>
          <t>Government</t>
        </is>
      </c>
      <c r="D9" s="7" t="inlineStr">
        <is>
          <t>Kuwait City</t>
        </is>
      </c>
      <c r="E9" s="7" t="inlineStr">
        <is>
          <t>IT Director</t>
        </is>
      </c>
      <c r="F9" s="7" t="inlineStr">
        <is>
          <t>Strategic</t>
        </is>
      </c>
      <c r="G9" s="7" t="inlineStr">
        <is>
          <t>Cybersecurity</t>
        </is>
      </c>
      <c r="H9" s="7" t="inlineStr">
        <is>
          <t>Managed Security</t>
        </is>
      </c>
      <c r="I9" s="8" t="n">
        <v>190000</v>
      </c>
      <c r="J9" s="8" t="n">
        <v>185000</v>
      </c>
      <c r="K9" s="9">
        <f>I9/J9</f>
        <v/>
      </c>
      <c r="L9" s="8" t="n">
        <v>210000</v>
      </c>
      <c r="M9" s="10" t="inlineStr">
        <is>
          <t>31-Mar-2027</t>
        </is>
      </c>
      <c r="N9" s="10" t="inlineStr">
        <is>
          <t>01-Sep-2026</t>
        </is>
      </c>
      <c r="O9" s="10" t="inlineStr">
        <is>
          <t>25-Aug-2026</t>
        </is>
      </c>
      <c r="P9" s="7" t="inlineStr">
        <is>
          <t>High</t>
        </is>
      </c>
      <c r="Q9" s="11" t="n">
        <v>0.14</v>
      </c>
      <c r="R9" s="12" t="n">
        <v>9.4</v>
      </c>
      <c r="S9" s="7" t="n">
        <v>0</v>
      </c>
      <c r="T9" s="7" t="inlineStr">
        <is>
          <t>Medium</t>
        </is>
      </c>
      <c r="U9" s="7" t="inlineStr">
        <is>
          <t>Data Governance</t>
        </is>
      </c>
      <c r="V9" s="7" t="inlineStr">
        <is>
          <t>Enterprise Security Expansion</t>
        </is>
      </c>
      <c r="W9" s="7" t="inlineStr">
        <is>
          <t>Strategic</t>
        </is>
      </c>
      <c r="X9" s="7" t="n"/>
      <c r="Y9" s="7" t="n"/>
    </row>
    <row r="10">
      <c r="A10" s="7" t="inlineStr">
        <is>
          <t>KA009</t>
        </is>
      </c>
      <c r="B10" s="7" t="inlineStr">
        <is>
          <t>Gulf Insurance Group</t>
        </is>
      </c>
      <c r="C10" s="7" t="inlineStr">
        <is>
          <t>Insurance</t>
        </is>
      </c>
      <c r="D10" s="7" t="inlineStr">
        <is>
          <t>Kuwait</t>
        </is>
      </c>
      <c r="E10" s="7" t="inlineStr">
        <is>
          <t>CIO</t>
        </is>
      </c>
      <c r="F10" s="7" t="inlineStr">
        <is>
          <t>Established</t>
        </is>
      </c>
      <c r="G10" s="7" t="inlineStr">
        <is>
          <t>Data Governance</t>
        </is>
      </c>
      <c r="H10" s="7" t="inlineStr">
        <is>
          <t>Business Intelligence</t>
        </is>
      </c>
      <c r="I10" s="8" t="n">
        <v>115000</v>
      </c>
      <c r="J10" s="8" t="n">
        <v>125000</v>
      </c>
      <c r="K10" s="9">
        <f>I10/J10</f>
        <v/>
      </c>
      <c r="L10" s="8" t="n">
        <v>120000</v>
      </c>
      <c r="M10" s="10" t="inlineStr">
        <is>
          <t>30-Nov-2026</t>
        </is>
      </c>
      <c r="N10" s="10" t="inlineStr">
        <is>
          <t>18-Aug-2026</t>
        </is>
      </c>
      <c r="O10" s="10" t="inlineStr">
        <is>
          <t>08-Aug-2026</t>
        </is>
      </c>
      <c r="P10" s="7" t="inlineStr">
        <is>
          <t>Medium</t>
        </is>
      </c>
      <c r="Q10" s="11" t="n">
        <v>0.07000000000000001</v>
      </c>
      <c r="R10" s="12" t="n">
        <v>8.1</v>
      </c>
      <c r="S10" s="7" t="n">
        <v>1</v>
      </c>
      <c r="T10" s="7" t="inlineStr">
        <is>
          <t>Medium</t>
        </is>
      </c>
      <c r="U10" s="7" t="inlineStr">
        <is>
          <t>Business Intelligence</t>
        </is>
      </c>
      <c r="V10" s="7" t="inlineStr">
        <is>
          <t>Advanced Data Governance</t>
        </is>
      </c>
      <c r="W10" s="7" t="inlineStr">
        <is>
          <t>Maintain</t>
        </is>
      </c>
      <c r="X10" s="7" t="n"/>
      <c r="Y10" s="7" t="n"/>
    </row>
    <row r="11">
      <c r="A11" s="7" t="inlineStr">
        <is>
          <t>KA010</t>
        </is>
      </c>
      <c r="B11" s="7" t="inlineStr">
        <is>
          <t>Future Education Network</t>
        </is>
      </c>
      <c r="C11" s="7" t="inlineStr">
        <is>
          <t>Education</t>
        </is>
      </c>
      <c r="D11" s="7" t="inlineStr">
        <is>
          <t>Kuwait</t>
        </is>
      </c>
      <c r="E11" s="7" t="inlineStr">
        <is>
          <t>IT Director</t>
        </is>
      </c>
      <c r="F11" s="7" t="inlineStr">
        <is>
          <t>Developing</t>
        </is>
      </c>
      <c r="G11" s="7" t="inlineStr">
        <is>
          <t>Cloud Infrastructure</t>
        </is>
      </c>
      <c r="H11" s="7" t="inlineStr"/>
      <c r="I11" s="8" t="n">
        <v>62000</v>
      </c>
      <c r="J11" s="8" t="n">
        <v>80000</v>
      </c>
      <c r="K11" s="9">
        <f>I11/J11</f>
        <v/>
      </c>
      <c r="L11" s="8" t="n">
        <v>70000</v>
      </c>
      <c r="M11" s="10" t="inlineStr">
        <is>
          <t>31-Oct-2026</t>
        </is>
      </c>
      <c r="N11" s="10" t="inlineStr">
        <is>
          <t>05-Aug-2026</t>
        </is>
      </c>
      <c r="O11" s="10" t="inlineStr">
        <is>
          <t>10-Jul-2026</t>
        </is>
      </c>
      <c r="P11" s="7" t="inlineStr">
        <is>
          <t>Low</t>
        </is>
      </c>
      <c r="Q11" s="11" t="n">
        <v>0.05</v>
      </c>
      <c r="R11" s="12" t="n">
        <v>7</v>
      </c>
      <c r="S11" s="7" t="n">
        <v>2</v>
      </c>
      <c r="T11" s="7" t="inlineStr">
        <is>
          <t>High</t>
        </is>
      </c>
      <c r="U11" s="7" t="inlineStr">
        <is>
          <t>AI &amp; Data Innovation</t>
        </is>
      </c>
      <c r="V11" s="7" t="inlineStr">
        <is>
          <t>Cloud Capacity Expansion</t>
        </is>
      </c>
      <c r="W11" s="7" t="inlineStr">
        <is>
          <t>Growth</t>
        </is>
      </c>
      <c r="X11" s="7" t="n"/>
      <c r="Y11" s="7" t="n"/>
    </row>
    <row r="12">
      <c r="A12" s="7" t="inlineStr">
        <is>
          <t>KA011</t>
        </is>
      </c>
      <c r="B12" s="7" t="inlineStr">
        <is>
          <t>Middle East Manufacturing</t>
        </is>
      </c>
      <c r="C12" s="7" t="inlineStr">
        <is>
          <t>Manufacturing</t>
        </is>
      </c>
      <c r="D12" s="7" t="inlineStr">
        <is>
          <t>Shuwaikh</t>
        </is>
      </c>
      <c r="E12" s="7" t="inlineStr">
        <is>
          <t>Operations Director</t>
        </is>
      </c>
      <c r="F12" s="7" t="inlineStr">
        <is>
          <t>Established</t>
        </is>
      </c>
      <c r="G12" s="7" t="inlineStr">
        <is>
          <t>Datacenter Modernization</t>
        </is>
      </c>
      <c r="H12" s="7" t="inlineStr">
        <is>
          <t>Business Continuity</t>
        </is>
      </c>
      <c r="I12" s="8" t="n">
        <v>125000</v>
      </c>
      <c r="J12" s="8" t="n">
        <v>130000</v>
      </c>
      <c r="K12" s="9">
        <f>I12/J12</f>
        <v/>
      </c>
      <c r="L12" s="8" t="n">
        <v>140000</v>
      </c>
      <c r="M12" s="10" t="inlineStr">
        <is>
          <t>31-Jan-2027</t>
        </is>
      </c>
      <c r="N12" s="10" t="inlineStr">
        <is>
          <t>25-Aug-2026</t>
        </is>
      </c>
      <c r="O12" s="10" t="inlineStr">
        <is>
          <t>20-Aug-2026</t>
        </is>
      </c>
      <c r="P12" s="7" t="inlineStr">
        <is>
          <t>Medium</t>
        </is>
      </c>
      <c r="Q12" s="11" t="n">
        <v>0.09</v>
      </c>
      <c r="R12" s="12" t="n">
        <v>8.6</v>
      </c>
      <c r="S12" s="7" t="n">
        <v>1</v>
      </c>
      <c r="T12" s="7" t="inlineStr">
        <is>
          <t>Medium</t>
        </is>
      </c>
      <c r="U12" s="7" t="inlineStr">
        <is>
          <t>Cloud Solutions</t>
        </is>
      </c>
      <c r="V12" s="7" t="inlineStr">
        <is>
          <t>Infrastructure Modernization Upgrade</t>
        </is>
      </c>
      <c r="W12" s="7" t="inlineStr">
        <is>
          <t>Maintain</t>
        </is>
      </c>
      <c r="X12" s="7" t="n"/>
      <c r="Y12" s="7" t="n"/>
    </row>
    <row r="13">
      <c r="A13" s="7" t="inlineStr">
        <is>
          <t>KA012</t>
        </is>
      </c>
      <c r="B13" s="7" t="inlineStr">
        <is>
          <t>Kuwait Aviation Services</t>
        </is>
      </c>
      <c r="C13" s="7" t="inlineStr">
        <is>
          <t>Aviation</t>
        </is>
      </c>
      <c r="D13" s="7" t="inlineStr">
        <is>
          <t>Kuwait</t>
        </is>
      </c>
      <c r="E13" s="7" t="inlineStr">
        <is>
          <t>CIO</t>
        </is>
      </c>
      <c r="F13" s="7" t="inlineStr">
        <is>
          <t>Strategic</t>
        </is>
      </c>
      <c r="G13" s="7" t="inlineStr">
        <is>
          <t>Business Continuity</t>
        </is>
      </c>
      <c r="H13" s="7" t="inlineStr">
        <is>
          <t>Cybersecurity</t>
        </is>
      </c>
      <c r="I13" s="8" t="n">
        <v>155000</v>
      </c>
      <c r="J13" s="8" t="n">
        <v>165000</v>
      </c>
      <c r="K13" s="9">
        <f>I13/J13</f>
        <v/>
      </c>
      <c r="L13" s="8" t="n">
        <v>175000</v>
      </c>
      <c r="M13" s="10" t="inlineStr">
        <is>
          <t>31-Dec-2026</t>
        </is>
      </c>
      <c r="N13" s="10" t="inlineStr">
        <is>
          <t>30-Aug-2026</t>
        </is>
      </c>
      <c r="O13" s="10" t="inlineStr">
        <is>
          <t>18-Aug-2026</t>
        </is>
      </c>
      <c r="P13" s="7" t="inlineStr">
        <is>
          <t>High</t>
        </is>
      </c>
      <c r="Q13" s="11" t="n">
        <v>0.11</v>
      </c>
      <c r="R13" s="12" t="n">
        <v>8.9</v>
      </c>
      <c r="S13" s="7" t="n">
        <v>0</v>
      </c>
      <c r="T13" s="7" t="inlineStr">
        <is>
          <t>High</t>
        </is>
      </c>
      <c r="U13" s="7" t="inlineStr">
        <is>
          <t>Cybersecurity</t>
        </is>
      </c>
      <c r="V13" s="7" t="inlineStr">
        <is>
          <t>Advanced Business Continuity</t>
        </is>
      </c>
      <c r="W13" s="7" t="inlineStr">
        <is>
          <t>Strategic</t>
        </is>
      </c>
      <c r="X13" s="7" t="n"/>
      <c r="Y13" s="7" t="n"/>
    </row>
    <row r="14">
      <c r="A14" s="7" t="inlineStr">
        <is>
          <t>KA013</t>
        </is>
      </c>
      <c r="B14" s="7" t="inlineStr">
        <is>
          <t>Gulf Hospitality Group</t>
        </is>
      </c>
      <c r="C14" s="7" t="inlineStr">
        <is>
          <t>Hospitality</t>
        </is>
      </c>
      <c r="D14" s="7" t="inlineStr">
        <is>
          <t>Kuwait City</t>
        </is>
      </c>
      <c r="E14" s="7" t="inlineStr">
        <is>
          <t>IT Manager</t>
        </is>
      </c>
      <c r="F14" s="7" t="inlineStr">
        <is>
          <t>Established</t>
        </is>
      </c>
      <c r="G14" s="7" t="inlineStr">
        <is>
          <t>Cloud Solutions</t>
        </is>
      </c>
      <c r="H14" s="7" t="inlineStr"/>
      <c r="I14" s="8" t="n">
        <v>72000</v>
      </c>
      <c r="J14" s="8" t="n">
        <v>75000</v>
      </c>
      <c r="K14" s="9">
        <f>I14/J14</f>
        <v/>
      </c>
      <c r="L14" s="8" t="n">
        <v>80000</v>
      </c>
      <c r="M14" s="10" t="inlineStr">
        <is>
          <t>30-Sep-2026</t>
        </is>
      </c>
      <c r="N14" s="10" t="inlineStr">
        <is>
          <t>15-Jul-2026</t>
        </is>
      </c>
      <c r="O14" s="10" t="inlineStr">
        <is>
          <t>01-Jul-2026</t>
        </is>
      </c>
      <c r="P14" s="7" t="inlineStr">
        <is>
          <t>Low</t>
        </is>
      </c>
      <c r="Q14" s="11" t="n">
        <v>-0.03</v>
      </c>
      <c r="R14" s="12" t="n">
        <v>6.8</v>
      </c>
      <c r="S14" s="7" t="n">
        <v>3</v>
      </c>
      <c r="T14" s="7" t="inlineStr">
        <is>
          <t>Low</t>
        </is>
      </c>
      <c r="U14" s="7" t="inlineStr">
        <is>
          <t>Business Intelligence</t>
        </is>
      </c>
      <c r="V14" s="7" t="inlineStr">
        <is>
          <t>Cloud Upgrade</t>
        </is>
      </c>
      <c r="W14" s="7" t="inlineStr">
        <is>
          <t>Maintain</t>
        </is>
      </c>
      <c r="X14" s="7" t="n"/>
      <c r="Y14" s="7" t="n"/>
    </row>
    <row r="15">
      <c r="A15" s="7" t="inlineStr">
        <is>
          <t>KA014</t>
        </is>
      </c>
      <c r="B15" s="7" t="inlineStr">
        <is>
          <t>National Oil Services</t>
        </is>
      </c>
      <c r="C15" s="7" t="inlineStr">
        <is>
          <t>Oil &amp; Gas</t>
        </is>
      </c>
      <c r="D15" s="7" t="inlineStr">
        <is>
          <t>Ahmadi</t>
        </is>
      </c>
      <c r="E15" s="7" t="inlineStr">
        <is>
          <t>CISO</t>
        </is>
      </c>
      <c r="F15" s="7" t="inlineStr">
        <is>
          <t>Strategic</t>
        </is>
      </c>
      <c r="G15" s="7" t="inlineStr">
        <is>
          <t>Cybersecurity</t>
        </is>
      </c>
      <c r="H15" s="7" t="inlineStr">
        <is>
          <t>Managed Security</t>
        </is>
      </c>
      <c r="I15" s="8" t="n">
        <v>180000</v>
      </c>
      <c r="J15" s="8" t="n">
        <v>190000</v>
      </c>
      <c r="K15" s="9">
        <f>I15/J15</f>
        <v/>
      </c>
      <c r="L15" s="8" t="n">
        <v>200000</v>
      </c>
      <c r="M15" s="10" t="inlineStr">
        <is>
          <t>28-Feb-2027</t>
        </is>
      </c>
      <c r="N15" s="10" t="inlineStr">
        <is>
          <t>28-Aug-2026</t>
        </is>
      </c>
      <c r="O15" s="10" t="inlineStr">
        <is>
          <t>22-Aug-2026</t>
        </is>
      </c>
      <c r="P15" s="7" t="inlineStr">
        <is>
          <t>High</t>
        </is>
      </c>
      <c r="Q15" s="11" t="n">
        <v>0.16</v>
      </c>
      <c r="R15" s="12" t="n">
        <v>9.300000000000001</v>
      </c>
      <c r="S15" s="7" t="n">
        <v>0</v>
      </c>
      <c r="T15" s="7" t="inlineStr">
        <is>
          <t>High</t>
        </is>
      </c>
      <c r="U15" s="7" t="inlineStr">
        <is>
          <t>Business Continuity</t>
        </is>
      </c>
      <c r="V15" s="7" t="inlineStr">
        <is>
          <t>Advanced Managed Security</t>
        </is>
      </c>
      <c r="W15" s="7" t="inlineStr">
        <is>
          <t>Strategic</t>
        </is>
      </c>
      <c r="X15" s="7" t="n"/>
      <c r="Y15" s="7" t="n"/>
    </row>
    <row r="16">
      <c r="A16" s="7" t="inlineStr">
        <is>
          <t>KA015</t>
        </is>
      </c>
      <c r="B16" s="7" t="inlineStr">
        <is>
          <t>Smart City Development Co.</t>
        </is>
      </c>
      <c r="C16" s="7" t="inlineStr">
        <is>
          <t>Real Estate</t>
        </is>
      </c>
      <c r="D16" s="7" t="inlineStr">
        <is>
          <t>Kuwait City</t>
        </is>
      </c>
      <c r="E16" s="7" t="inlineStr">
        <is>
          <t>CTO</t>
        </is>
      </c>
      <c r="F16" s="7" t="inlineStr">
        <is>
          <t>Developing</t>
        </is>
      </c>
      <c r="G16" s="7" t="inlineStr">
        <is>
          <t>Digital Transformation</t>
        </is>
      </c>
      <c r="H16" s="7" t="inlineStr">
        <is>
          <t>AI &amp; Data Innovation</t>
        </is>
      </c>
      <c r="I16" s="8" t="n">
        <v>98000</v>
      </c>
      <c r="J16" s="8" t="n">
        <v>115000</v>
      </c>
      <c r="K16" s="9">
        <f>I16/J16</f>
        <v/>
      </c>
      <c r="L16" s="8" t="n">
        <v>110000</v>
      </c>
      <c r="M16" s="10" t="inlineStr">
        <is>
          <t>30-Nov-2026</t>
        </is>
      </c>
      <c r="N16" s="10" t="inlineStr">
        <is>
          <t>02-Sep-2026</t>
        </is>
      </c>
      <c r="O16" s="10" t="inlineStr">
        <is>
          <t>25-Aug-2026</t>
        </is>
      </c>
      <c r="P16" s="7" t="inlineStr">
        <is>
          <t>High</t>
        </is>
      </c>
      <c r="Q16" s="11" t="n">
        <v>0.25</v>
      </c>
      <c r="R16" s="12" t="n">
        <v>8</v>
      </c>
      <c r="S16" s="7" t="n">
        <v>1</v>
      </c>
      <c r="T16" s="7" t="inlineStr">
        <is>
          <t>High</t>
        </is>
      </c>
      <c r="U16" s="7" t="inlineStr">
        <is>
          <t>Business Intelligence</t>
        </is>
      </c>
      <c r="V16" s="7" t="inlineStr">
        <is>
          <t>AI Platform Expansion</t>
        </is>
      </c>
      <c r="W16" s="7" t="inlineStr">
        <is>
          <t>Growth</t>
        </is>
      </c>
      <c r="X16" s="7" t="n"/>
      <c r="Y16" s="7" t="n"/>
    </row>
    <row r="17">
      <c r="A17" s="7" t="inlineStr">
        <is>
          <t>KA016</t>
        </is>
      </c>
      <c r="B17" s="7" t="inlineStr">
        <is>
          <t>Regional Investment Group</t>
        </is>
      </c>
      <c r="C17" s="7" t="inlineStr">
        <is>
          <t>Investment</t>
        </is>
      </c>
      <c r="D17" s="7" t="inlineStr">
        <is>
          <t>Kuwait City</t>
        </is>
      </c>
      <c r="E17" s="7" t="inlineStr">
        <is>
          <t>CIO</t>
        </is>
      </c>
      <c r="F17" s="7" t="inlineStr">
        <is>
          <t>Established</t>
        </is>
      </c>
      <c r="G17" s="7" t="inlineStr">
        <is>
          <t>Business Intelligence</t>
        </is>
      </c>
      <c r="H17" s="7" t="inlineStr">
        <is>
          <t>Data Governance</t>
        </is>
      </c>
      <c r="I17" s="8" t="n">
        <v>105000</v>
      </c>
      <c r="J17" s="8" t="n">
        <v>110000</v>
      </c>
      <c r="K17" s="9">
        <f>I17/J17</f>
        <v/>
      </c>
      <c r="L17" s="8" t="n">
        <v>115000</v>
      </c>
      <c r="M17" s="10" t="inlineStr">
        <is>
          <t>31-Dec-2026</t>
        </is>
      </c>
      <c r="N17" s="10" t="inlineStr">
        <is>
          <t>15-Aug-2026</t>
        </is>
      </c>
      <c r="O17" s="10" t="inlineStr">
        <is>
          <t>05-Aug-2026</t>
        </is>
      </c>
      <c r="P17" s="7" t="inlineStr">
        <is>
          <t>Medium</t>
        </is>
      </c>
      <c r="Q17" s="11" t="n">
        <v>0.06</v>
      </c>
      <c r="R17" s="12" t="n">
        <v>8.199999999999999</v>
      </c>
      <c r="S17" s="7" t="n">
        <v>1</v>
      </c>
      <c r="T17" s="7" t="inlineStr">
        <is>
          <t>Medium</t>
        </is>
      </c>
      <c r="U17" s="7" t="inlineStr">
        <is>
          <t>Cybersecurity</t>
        </is>
      </c>
      <c r="V17" s="7" t="inlineStr">
        <is>
          <t>Advanced BI Analytics</t>
        </is>
      </c>
      <c r="W17" s="7" t="inlineStr">
        <is>
          <t>Maintain</t>
        </is>
      </c>
      <c r="X17" s="7" t="n"/>
      <c r="Y17" s="7" t="n"/>
    </row>
    <row r="18">
      <c r="A18" s="7" t="inlineStr">
        <is>
          <t>KA017</t>
        </is>
      </c>
      <c r="B18" s="7" t="inlineStr">
        <is>
          <t>Kuwait Healthcare Network</t>
        </is>
      </c>
      <c r="C18" s="7" t="inlineStr">
        <is>
          <t>Healthcare</t>
        </is>
      </c>
      <c r="D18" s="7" t="inlineStr">
        <is>
          <t>Kuwait</t>
        </is>
      </c>
      <c r="E18" s="7" t="inlineStr">
        <is>
          <t>CIO</t>
        </is>
      </c>
      <c r="F18" s="7" t="inlineStr">
        <is>
          <t>Developing</t>
        </is>
      </c>
      <c r="G18" s="7" t="inlineStr">
        <is>
          <t>AI &amp; Data Innovation</t>
        </is>
      </c>
      <c r="H18" s="7" t="inlineStr">
        <is>
          <t>Cloud Solutions</t>
        </is>
      </c>
      <c r="I18" s="8" t="n">
        <v>88000</v>
      </c>
      <c r="J18" s="8" t="n">
        <v>105000</v>
      </c>
      <c r="K18" s="9">
        <f>I18/J18</f>
        <v/>
      </c>
      <c r="L18" s="8" t="n">
        <v>100000</v>
      </c>
      <c r="M18" s="10" t="inlineStr">
        <is>
          <t>31-Oct-2026</t>
        </is>
      </c>
      <c r="N18" s="10" t="inlineStr">
        <is>
          <t>22-Aug-2026</t>
        </is>
      </c>
      <c r="O18" s="10" t="inlineStr">
        <is>
          <t>15-Aug-2026</t>
        </is>
      </c>
      <c r="P18" s="7" t="inlineStr">
        <is>
          <t>Medium</t>
        </is>
      </c>
      <c r="Q18" s="11" t="n">
        <v>0.2</v>
      </c>
      <c r="R18" s="12" t="n">
        <v>7.8</v>
      </c>
      <c r="S18" s="7" t="n">
        <v>2</v>
      </c>
      <c r="T18" s="7" t="inlineStr">
        <is>
          <t>High</t>
        </is>
      </c>
      <c r="U18" s="7" t="inlineStr">
        <is>
          <t>Data Governance</t>
        </is>
      </c>
      <c r="V18" s="7" t="inlineStr">
        <is>
          <t>AI Solution Expansion</t>
        </is>
      </c>
      <c r="W18" s="7" t="inlineStr">
        <is>
          <t>Growth</t>
        </is>
      </c>
      <c r="X18" s="7" t="n"/>
      <c r="Y18" s="7" t="n"/>
    </row>
    <row r="19">
      <c r="A19" s="7" t="inlineStr">
        <is>
          <t>KA018</t>
        </is>
      </c>
      <c r="B19" s="7" t="inlineStr">
        <is>
          <t>Gulf Trading Corporation</t>
        </is>
      </c>
      <c r="C19" s="7" t="inlineStr">
        <is>
          <t>Trading</t>
        </is>
      </c>
      <c r="D19" s="7" t="inlineStr">
        <is>
          <t>Shuwaikh</t>
        </is>
      </c>
      <c r="E19" s="7" t="inlineStr">
        <is>
          <t>IT Director</t>
        </is>
      </c>
      <c r="F19" s="7" t="inlineStr">
        <is>
          <t>Established</t>
        </is>
      </c>
      <c r="G19" s="7" t="inlineStr">
        <is>
          <t>Managed Security Services</t>
        </is>
      </c>
      <c r="H19" s="7" t="inlineStr">
        <is>
          <t>Cybersecurity</t>
        </is>
      </c>
      <c r="I19" s="8" t="n">
        <v>118000</v>
      </c>
      <c r="J19" s="8" t="n">
        <v>120000</v>
      </c>
      <c r="K19" s="9">
        <f>I19/J19</f>
        <v/>
      </c>
      <c r="L19" s="8" t="n">
        <v>125000</v>
      </c>
      <c r="M19" s="10" t="inlineStr">
        <is>
          <t>31-Jan-2027</t>
        </is>
      </c>
      <c r="N19" s="10" t="inlineStr">
        <is>
          <t>29-Aug-2026</t>
        </is>
      </c>
      <c r="O19" s="10" t="inlineStr">
        <is>
          <t>20-Aug-2026</t>
        </is>
      </c>
      <c r="P19" s="7" t="inlineStr">
        <is>
          <t>High</t>
        </is>
      </c>
      <c r="Q19" s="11" t="n">
        <v>0.1</v>
      </c>
      <c r="R19" s="12" t="n">
        <v>8.699999999999999</v>
      </c>
      <c r="S19" s="7" t="n">
        <v>0</v>
      </c>
      <c r="T19" s="7" t="inlineStr">
        <is>
          <t>Medium</t>
        </is>
      </c>
      <c r="U19" s="7" t="inlineStr">
        <is>
          <t>Business Continuity</t>
        </is>
      </c>
      <c r="V19" s="7" t="inlineStr">
        <is>
          <t>Advanced Managed Security</t>
        </is>
      </c>
      <c r="W19" s="7" t="inlineStr">
        <is>
          <t>Maintain</t>
        </is>
      </c>
      <c r="X19" s="7" t="n"/>
      <c r="Y19" s="7" t="n"/>
    </row>
    <row r="20">
      <c r="A20" s="7" t="inlineStr">
        <is>
          <t>KA019</t>
        </is>
      </c>
      <c r="B20" s="7" t="inlineStr">
        <is>
          <t>Al Aman Insurance</t>
        </is>
      </c>
      <c r="C20" s="7" t="inlineStr">
        <is>
          <t>Insurance</t>
        </is>
      </c>
      <c r="D20" s="7" t="inlineStr">
        <is>
          <t>Kuwait</t>
        </is>
      </c>
      <c r="E20" s="7" t="inlineStr">
        <is>
          <t>IT Manager</t>
        </is>
      </c>
      <c r="F20" s="7" t="inlineStr">
        <is>
          <t>Established</t>
        </is>
      </c>
      <c r="G20" s="7" t="inlineStr">
        <is>
          <t>Business Continuity</t>
        </is>
      </c>
      <c r="H20" s="7" t="inlineStr"/>
      <c r="I20" s="8" t="n">
        <v>82000</v>
      </c>
      <c r="J20" s="8" t="n">
        <v>85000</v>
      </c>
      <c r="K20" s="9">
        <f>I20/J20</f>
        <v/>
      </c>
      <c r="L20" s="8" t="n">
        <v>90000</v>
      </c>
      <c r="M20" s="10" t="inlineStr">
        <is>
          <t>30-Sep-2026</t>
        </is>
      </c>
      <c r="N20" s="10" t="inlineStr">
        <is>
          <t>10-Jul-2026</t>
        </is>
      </c>
      <c r="O20" s="10" t="inlineStr">
        <is>
          <t>01-Jul-2026</t>
        </is>
      </c>
      <c r="P20" s="7" t="inlineStr">
        <is>
          <t>Low</t>
        </is>
      </c>
      <c r="Q20" s="11" t="n">
        <v>0.02</v>
      </c>
      <c r="R20" s="12" t="n">
        <v>7.1</v>
      </c>
      <c r="S20" s="7" t="n">
        <v>2</v>
      </c>
      <c r="T20" s="7" t="inlineStr">
        <is>
          <t>Low</t>
        </is>
      </c>
      <c r="U20" s="7" t="inlineStr">
        <is>
          <t>Cybersecurity</t>
        </is>
      </c>
      <c r="V20" s="7" t="inlineStr">
        <is>
          <t>Business Continuity Upgrade</t>
        </is>
      </c>
      <c r="W20" s="7" t="inlineStr">
        <is>
          <t>Maintain</t>
        </is>
      </c>
      <c r="X20" s="7" t="n"/>
      <c r="Y20" s="7" t="n"/>
    </row>
    <row r="21">
      <c r="A21" s="7" t="inlineStr">
        <is>
          <t>KA020</t>
        </is>
      </c>
      <c r="B21" s="7" t="inlineStr">
        <is>
          <t>Kuwait Industrial Group</t>
        </is>
      </c>
      <c r="C21" s="7" t="inlineStr">
        <is>
          <t>Manufacturing</t>
        </is>
      </c>
      <c r="D21" s="7" t="inlineStr">
        <is>
          <t>Shuaiba</t>
        </is>
      </c>
      <c r="E21" s="7" t="inlineStr">
        <is>
          <t>CIO</t>
        </is>
      </c>
      <c r="F21" s="7" t="inlineStr">
        <is>
          <t>Established</t>
        </is>
      </c>
      <c r="G21" s="7" t="inlineStr">
        <is>
          <t>Datacenter Modernization</t>
        </is>
      </c>
      <c r="H21" s="7" t="inlineStr">
        <is>
          <t>Cloud Solutions</t>
        </is>
      </c>
      <c r="I21" s="8" t="n">
        <v>135000</v>
      </c>
      <c r="J21" s="8" t="n">
        <v>145000</v>
      </c>
      <c r="K21" s="9">
        <f>I21/J21</f>
        <v/>
      </c>
      <c r="L21" s="8" t="n">
        <v>150000</v>
      </c>
      <c r="M21" s="10" t="inlineStr">
        <is>
          <t>31-Mar-2027</t>
        </is>
      </c>
      <c r="N21" s="10" t="inlineStr">
        <is>
          <t>01-Sep-2026</t>
        </is>
      </c>
      <c r="O21" s="10" t="inlineStr">
        <is>
          <t>24-Aug-2026</t>
        </is>
      </c>
      <c r="P21" s="7" t="inlineStr">
        <is>
          <t>Medium</t>
        </is>
      </c>
      <c r="Q21" s="11" t="n">
        <v>0.08</v>
      </c>
      <c r="R21" s="12" t="n">
        <v>8.5</v>
      </c>
      <c r="S21" s="7" t="n">
        <v>1</v>
      </c>
      <c r="T21" s="7" t="inlineStr">
        <is>
          <t>Medium</t>
        </is>
      </c>
      <c r="U21" s="7" t="inlineStr">
        <is>
          <t>Business Continuity</t>
        </is>
      </c>
      <c r="V21" s="7" t="inlineStr">
        <is>
          <t>Datacenter Expansion</t>
        </is>
      </c>
      <c r="W21" s="7" t="inlineStr">
        <is>
          <t>Maintain</t>
        </is>
      </c>
      <c r="X21" s="7" t="n"/>
      <c r="Y21" s="7" t="n"/>
    </row>
  </sheetData>
  <autoFilter ref="A1:Y21"/>
  <conditionalFormatting sqref="K2:K21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:Q21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:R21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S2:S21">
    <cfRule type="colorScale" priority="4">
      <colorScale>
        <cfvo type="min"/>
        <cfvo type="percentile" val="50"/>
        <cfvo type="max"/>
        <color rgb="0063BE7B"/>
        <color rgb="00FFEB84"/>
        <color rgb="00F8696B"/>
      </colorScale>
    </cfRule>
  </conditionalFormatting>
  <dataValidations count="4">
    <dataValidation sqref="F2:F21" showDropDown="0" showInputMessage="0" showErrorMessage="0" allowBlank="0" type="list">
      <formula1>'Lists'!$A$2:$A$4</formula1>
    </dataValidation>
    <dataValidation sqref="P2:P21" showDropDown="0" showInputMessage="0" showErrorMessage="0" allowBlank="0" type="list">
      <formula1>'Lists'!$B$2:$B$4</formula1>
    </dataValidation>
    <dataValidation sqref="T2:T21" showDropDown="0" showInputMessage="0" showErrorMessage="0" allowBlank="0" type="list">
      <formula1>'Lists'!$C$2:$C$4</formula1>
    </dataValidation>
    <dataValidation sqref="W2:W21" showDropDown="0" showInputMessage="0" showErrorMessage="0" allowBlank="0" type="list">
      <formula1>'Lists'!$D$2:$D$4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7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20" customWidth="1" min="2" max="2"/>
    <col width="4" customWidth="1" min="3" max="3"/>
    <col width="22" customWidth="1" min="4" max="4"/>
    <col width="14" customWidth="1" min="5" max="5"/>
    <col width="18" customWidth="1" min="6" max="6"/>
  </cols>
  <sheetData>
    <row r="1" ht="30" customHeight="1">
      <c r="A1" s="13" t="inlineStr">
        <is>
          <t>FUTURETEC — KEY ACCOUNT PORTFOLIO SUMMARY</t>
        </is>
      </c>
    </row>
    <row r="3">
      <c r="A3" s="14" t="inlineStr">
        <is>
          <t>Total Accounts</t>
        </is>
      </c>
      <c r="B3" s="15">
        <f>COUNTA('Account Portfolio'!A2:A21)</f>
        <v/>
      </c>
      <c r="D3" s="16" t="inlineStr">
        <is>
          <t>Account Segment</t>
        </is>
      </c>
      <c r="E3" s="16" t="inlineStr">
        <is>
          <t>Count</t>
        </is>
      </c>
    </row>
    <row r="4">
      <c r="A4" s="14" t="inlineStr">
        <is>
          <t>Total Portfolio Revenue (KWD)</t>
        </is>
      </c>
      <c r="B4" s="17">
        <f>SUM('Account Portfolio'!I2:I21)</f>
        <v/>
      </c>
      <c r="D4" s="18" t="inlineStr">
        <is>
          <t>Strategic</t>
        </is>
      </c>
      <c r="E4" s="18">
        <f>COUNTIF('Account Portfolio'!W2:W21,D4)</f>
        <v/>
      </c>
    </row>
    <row r="5">
      <c r="A5" s="14" t="inlineStr">
        <is>
          <t>Total Sales Target (KWD)</t>
        </is>
      </c>
      <c r="B5" s="17">
        <f>SUM('Account Portfolio'!J2:J21)</f>
        <v/>
      </c>
      <c r="D5" s="18" t="inlineStr">
        <is>
          <t>Growth</t>
        </is>
      </c>
      <c r="E5" s="18">
        <f>COUNTIF('Account Portfolio'!W2:W21,D5)</f>
        <v/>
      </c>
    </row>
    <row r="6">
      <c r="A6" s="14" t="inlineStr">
        <is>
          <t>Overall Target Achievement</t>
        </is>
      </c>
      <c r="B6" s="19">
        <f>B4/B5</f>
        <v/>
      </c>
      <c r="D6" s="18" t="inlineStr">
        <is>
          <t>Maintain</t>
        </is>
      </c>
      <c r="E6" s="18">
        <f>COUNTIF('Account Portfolio'!W2:W21,D6)</f>
        <v/>
      </c>
    </row>
    <row r="7">
      <c r="A7" s="14" t="inlineStr">
        <is>
          <t>Total Contract Value (KWD)</t>
        </is>
      </c>
      <c r="B7" s="17">
        <f>SUM('Account Portfolio'!L2:L21)</f>
        <v/>
      </c>
    </row>
    <row r="8">
      <c r="A8" s="14" t="inlineStr">
        <is>
          <t>Strategic Accounts</t>
        </is>
      </c>
      <c r="B8" s="15">
        <f>COUNTIF('Account Portfolio'!W2:W21,"Strategic")</f>
        <v/>
      </c>
    </row>
    <row r="9">
      <c r="A9" s="14" t="inlineStr">
        <is>
          <t>Growth Accounts</t>
        </is>
      </c>
      <c r="B9" s="15">
        <f>COUNTIF('Account Portfolio'!W2:W21,"Growth")</f>
        <v/>
      </c>
      <c r="D9" s="2" t="inlineStr">
        <is>
          <t>Note</t>
        </is>
      </c>
    </row>
    <row r="10">
      <c r="A10" s="14" t="inlineStr">
        <is>
          <t>Maintain Accounts</t>
        </is>
      </c>
      <c r="B10" s="15">
        <f>COUNTIF('Account Portfolio'!W2:W21,"Maintain")</f>
        <v/>
      </c>
      <c r="D10" s="20" t="inlineStr">
        <is>
          <t>Health Score and Account Status columns are intentionally left blank. They will be built in Phase 2 using scoring rules and Excel formulas.</t>
        </is>
      </c>
    </row>
    <row r="11">
      <c r="A11" s="14" t="inlineStr">
        <is>
          <t>High Growth Potential</t>
        </is>
      </c>
      <c r="B11" s="15">
        <f>COUNTIF('Account Portfolio'!T2:T21,"High")</f>
        <v/>
      </c>
    </row>
    <row r="12"/>
    <row r="13"/>
    <row r="15">
      <c r="A15" s="21" t="inlineStr">
        <is>
          <t>Portfolio Disclaimer: This workbook is an independent educational portfolio case study inspired by FutureTEC's publicly available business context. All client names and business figures are simulated.</t>
        </is>
      </c>
    </row>
    <row r="16"/>
    <row r="17"/>
  </sheetData>
  <mergeCells count="3">
    <mergeCell ref="A15:F17"/>
    <mergeCell ref="A1:F1"/>
    <mergeCell ref="D10:F1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Saim Shaikh</dc:creator>
  <dc:title xmlns:dc="http://purl.org/dc/elements/1.1/">FutureTEC Strategic Key Account Management Portfolio</dc:title>
  <dc:subject xmlns:dc="http://purl.org/dc/elements/1.1/">Project 03 - Account Portfolio</dc:subject>
  <dcterms:created xmlns:dcterms="http://purl.org/dc/terms/" xmlns:xsi="http://www.w3.org/2001/XMLSchema-instance" xsi:type="dcterms:W3CDTF">2026-09-09T06:52:11Z</dcterms:created>
  <dcterms:modified xmlns:dcterms="http://purl.org/dc/terms/" xmlns:xsi="http://www.w3.org/2001/XMLSchema-instance" xsi:type="dcterms:W3CDTF">2026-09-09T06:52:11Z</dcterms:modified>
</cp:coreProperties>
</file>